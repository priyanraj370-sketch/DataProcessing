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"/>
    </mc:Choice>
  </mc:AlternateContent>
  <xr:revisionPtr revIDLastSave="0" documentId="8_{959A94EF-E520-475D-B561-39C27C9AB8C1}" xr6:coauthVersionLast="47" xr6:coauthVersionMax="47" xr10:uidLastSave="{00000000-0000-0000-0000-000000000000}"/>
  <bookViews>
    <workbookView xWindow="-108" yWindow="-108" windowWidth="23256" windowHeight="12456" xr2:uid="{2B1CDC0F-6458-4402-955B-AEC43D177B98}"/>
  </bookViews>
  <sheets>
    <sheet name="Product" sheetId="1" r:id="rId1"/>
    <sheet name="Or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G2" i="2"/>
  <c r="G3" i="2"/>
  <c r="G4" i="2"/>
  <c r="G5" i="2"/>
  <c r="G6" i="2"/>
  <c r="G7" i="2"/>
  <c r="F2" i="2" a="1"/>
  <c r="F2" i="2" s="1"/>
  <c r="I3" i="2"/>
  <c r="I4" i="2"/>
  <c r="I5" i="2"/>
  <c r="I6" i="2"/>
  <c r="I7" i="2"/>
  <c r="I2" i="2"/>
  <c r="D3" i="2"/>
  <c r="D4" i="2"/>
  <c r="D5" i="2"/>
  <c r="D6" i="2"/>
  <c r="D7" i="2"/>
  <c r="K7" i="2" s="1"/>
  <c r="D2" i="2"/>
  <c r="H2" i="2" a="1"/>
  <c r="H2" i="2" s="1"/>
  <c r="K6" i="2" l="1"/>
  <c r="K2" i="2"/>
  <c r="K4" i="2"/>
  <c r="K5" i="2"/>
  <c r="K3" i="2"/>
  <c r="J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<sst xmlns="http://schemas.openxmlformats.org/spreadsheetml/2006/main" count="27" uniqueCount="20">
  <si>
    <t xml:space="preserve">Product ID </t>
  </si>
  <si>
    <t>Product</t>
  </si>
  <si>
    <t>Product A</t>
  </si>
  <si>
    <t>Product B</t>
  </si>
  <si>
    <t>Product D</t>
  </si>
  <si>
    <t>Product C</t>
  </si>
  <si>
    <t>Product E</t>
  </si>
  <si>
    <t>Product F</t>
  </si>
  <si>
    <t>Price</t>
  </si>
  <si>
    <t>Order ID</t>
  </si>
  <si>
    <t>Product ID</t>
  </si>
  <si>
    <t>Quantity</t>
  </si>
  <si>
    <t>Total Price</t>
  </si>
  <si>
    <t>Product Name</t>
  </si>
  <si>
    <t>IF  Error</t>
  </si>
  <si>
    <t>After 10% Discount</t>
  </si>
  <si>
    <t>Max</t>
  </si>
  <si>
    <t>Product Ordered or Not</t>
  </si>
  <si>
    <t>Summary</t>
  </si>
  <si>
    <t>Sales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</si>
</sst>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1" xfId="0" applyFill="1" applyBorder="1"/>
    <xf numFmtId="0" fontId="1" fillId="4" borderId="0" xfId="0" applyFont="1" applyFill="1"/>
    <xf numFmtId="0" fontId="1" fillId="4" borderId="0" xfId="0" applyFont="1" applyFill="1" applyBorder="1" applyAlignment="1">
      <alignment wrapText="1"/>
    </xf>
    <xf numFmtId="0" fontId="0" fillId="2" borderId="1" xfId="0" applyFill="1" applyBorder="1"/>
    <xf numFmtId="0" fontId="1" fillId="5" borderId="1" xfId="0" applyFont="1" applyFill="1" applyBorder="1"/>
    <xf numFmtId="0" fontId="0" fillId="6" borderId="1" xfId="0" applyFill="1" applyBorder="1"/>
    <xf numFmtId="0" fontId="1" fillId="5" borderId="0" xfId="0" applyFont="1" applyFill="1"/>
  </cellXfs>
  <cellStyles count="1">
    <cellStyle name="Normal" xfId="0" builtinId="0"/>
  </cellStyles>
  <dxfs count="1">
    <dxf>
      <fill>
        <gradientFill degree="90">
          <stop position="0">
            <color theme="0"/>
          </stop>
          <stop position="1">
            <color rgb="FF00B05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23BD-E535-4B2D-9A44-FD62ECEFFAB7}">
  <dimension ref="A1:C7"/>
  <sheetViews>
    <sheetView tabSelected="1" zoomScale="110" zoomScaleNormal="110" workbookViewId="0">
      <selection activeCell="D14" sqref="D14"/>
    </sheetView>
  </sheetViews>
  <sheetFormatPr defaultRowHeight="14.4" x14ac:dyDescent="0.3"/>
  <cols>
    <col min="1" max="1" width="13.44140625" customWidth="1"/>
    <col min="2" max="2" width="12.21875" customWidth="1"/>
    <col min="3" max="3" width="12.77734375" customWidth="1"/>
  </cols>
  <sheetData>
    <row r="1" spans="1:3" x14ac:dyDescent="0.3">
      <c r="A1" s="9" t="s">
        <v>0</v>
      </c>
      <c r="B1" s="9" t="s">
        <v>1</v>
      </c>
      <c r="C1" s="9" t="s">
        <v>8</v>
      </c>
    </row>
    <row r="2" spans="1:3" x14ac:dyDescent="0.3">
      <c r="A2" s="8">
        <v>101</v>
      </c>
      <c r="B2" s="8" t="s">
        <v>2</v>
      </c>
      <c r="C2" s="8">
        <v>120</v>
      </c>
    </row>
    <row r="3" spans="1:3" x14ac:dyDescent="0.3">
      <c r="A3" s="8">
        <v>102</v>
      </c>
      <c r="B3" s="8" t="s">
        <v>3</v>
      </c>
      <c r="C3" s="8">
        <v>150</v>
      </c>
    </row>
    <row r="4" spans="1:3" x14ac:dyDescent="0.3">
      <c r="A4" s="8">
        <v>103</v>
      </c>
      <c r="B4" s="8" t="s">
        <v>5</v>
      </c>
      <c r="C4" s="8">
        <v>200</v>
      </c>
    </row>
    <row r="5" spans="1:3" x14ac:dyDescent="0.3">
      <c r="A5" s="8">
        <v>104</v>
      </c>
      <c r="B5" s="8" t="s">
        <v>4</v>
      </c>
      <c r="C5" s="8">
        <v>90</v>
      </c>
    </row>
    <row r="6" spans="1:3" x14ac:dyDescent="0.3">
      <c r="A6" s="8">
        <v>105</v>
      </c>
      <c r="B6" s="8" t="s">
        <v>6</v>
      </c>
      <c r="C6" s="8">
        <v>220</v>
      </c>
    </row>
    <row r="7" spans="1:3" x14ac:dyDescent="0.3">
      <c r="A7" s="8">
        <v>106</v>
      </c>
      <c r="B7" s="8" t="s">
        <v>7</v>
      </c>
      <c r="C7" s="8">
        <v>130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BBEE-6378-4B78-B853-8A5806AB1DB4}">
  <dimension ref="A1:M7"/>
  <sheetViews>
    <sheetView zoomScale="110" zoomScaleNormal="110" workbookViewId="0">
      <selection activeCell="D14" sqref="D14"/>
    </sheetView>
  </sheetViews>
  <sheetFormatPr defaultRowHeight="14.4" x14ac:dyDescent="0.3"/>
  <cols>
    <col min="2" max="2" width="14" customWidth="1"/>
    <col min="4" max="4" width="12.109375" customWidth="1"/>
    <col min="6" max="6" width="16" customWidth="1"/>
    <col min="7" max="7" width="19.33203125" customWidth="1"/>
    <col min="9" max="9" width="17" customWidth="1"/>
    <col min="11" max="11" width="21.44140625" customWidth="1"/>
    <col min="12" max="12" width="18.5546875" customWidth="1"/>
    <col min="13" max="13" width="13.33203125" customWidth="1"/>
  </cols>
  <sheetData>
    <row r="1" spans="1:13" ht="15" customHeight="1" x14ac:dyDescent="0.3">
      <c r="A1" s="7" t="s">
        <v>9</v>
      </c>
      <c r="B1" s="7" t="s">
        <v>10</v>
      </c>
      <c r="C1" s="7" t="s">
        <v>11</v>
      </c>
      <c r="D1" s="7" t="s">
        <v>12</v>
      </c>
      <c r="E1" s="1"/>
      <c r="F1" s="4" t="s">
        <v>13</v>
      </c>
      <c r="G1" s="4" t="s">
        <v>18</v>
      </c>
      <c r="H1" s="4" t="s">
        <v>14</v>
      </c>
      <c r="I1" s="4" t="s">
        <v>15</v>
      </c>
      <c r="J1" s="4" t="s">
        <v>16</v>
      </c>
      <c r="K1" s="5" t="s">
        <v>17</v>
      </c>
      <c r="L1" s="2" t="s">
        <v>19</v>
      </c>
      <c r="M1" s="2" t="s">
        <v>13</v>
      </c>
    </row>
    <row r="2" spans="1:13" x14ac:dyDescent="0.3">
      <c r="A2" s="8">
        <v>1</v>
      </c>
      <c r="B2" s="8">
        <v>101</v>
      </c>
      <c r="C2" s="8">
        <v>2</v>
      </c>
      <c r="D2" s="8">
        <f>VLOOKUP(B2,Product!$A$2:$C$7,3,FALSE)*C2</f>
        <v>240</v>
      </c>
      <c r="F2" s="6" t="str" cm="1">
        <f t="array" ref="F2:F7">VLOOKUP(B2:B7,Product!$A$2:$C$7,2,FALSE)</f>
        <v>Product A</v>
      </c>
      <c r="G2" s="6">
        <f>SUMIF($B$2:$B$7,Product!#REF!,Order!$C$2:$C$7)</f>
        <v>0</v>
      </c>
      <c r="H2" s="6" cm="1">
        <f t="array" ref="H2:H7">IFERROR(VLOOKUP(B2:B7,Product!A2:$C$6,1,FALSE),"NOT FOUND")</f>
        <v>101</v>
      </c>
      <c r="I2" s="6">
        <f>VLOOKUP(B2,Product!$A$2:$C$7,3,FALSE)*(1-10%)</f>
        <v>108</v>
      </c>
      <c r="J2" s="6">
        <f>MAX(D2:D7)</f>
        <v>880</v>
      </c>
      <c r="K2" s="6" t="str">
        <f>IF(COUNTIF(A2:$D$7,A2)=0,"NOT ORDERD","ORDERD")</f>
        <v>ORDERD</v>
      </c>
      <c r="L2" s="3">
        <f>SUMIF($B$2:$B$7,Product!A2,Order!$C$2:$C$7)</f>
        <v>2</v>
      </c>
      <c r="M2" s="3" t="s">
        <v>2</v>
      </c>
    </row>
    <row r="3" spans="1:13" x14ac:dyDescent="0.3">
      <c r="A3" s="8">
        <v>2</v>
      </c>
      <c r="B3" s="8">
        <v>103</v>
      </c>
      <c r="C3" s="8">
        <v>1</v>
      </c>
      <c r="D3" s="8">
        <f>VLOOKUP(B3,Product!$A$2:$C$7,3,FALSE)*C3</f>
        <v>200</v>
      </c>
      <c r="F3" s="6" t="str">
        <v>Product C</v>
      </c>
      <c r="G3" s="6">
        <f>SUMIF($B$2:$B$7,Product!#REF!,Order!$C$2:$C$7)</f>
        <v>0</v>
      </c>
      <c r="H3" s="6">
        <v>103</v>
      </c>
      <c r="I3" s="6">
        <f>VLOOKUP(B3,Product!$A$2:$C$7,3,FALSE)*(1-10%)</f>
        <v>180</v>
      </c>
      <c r="J3" s="6"/>
      <c r="K3" s="6" t="str">
        <f>IF(COUNTIF(A3:$D$7,A3)=0,"NOT ORDERD","ORDERD")</f>
        <v>ORDERD</v>
      </c>
      <c r="L3" s="3">
        <f>SUMIF($B$2:$B$7,Product!A3,Order!$C$2:$C$7)</f>
        <v>5</v>
      </c>
      <c r="M3" s="3" t="s">
        <v>3</v>
      </c>
    </row>
    <row r="4" spans="1:13" x14ac:dyDescent="0.3">
      <c r="A4" s="8">
        <v>3</v>
      </c>
      <c r="B4" s="8">
        <v>105</v>
      </c>
      <c r="C4" s="8">
        <v>4</v>
      </c>
      <c r="D4" s="8">
        <f>VLOOKUP(B4,Product!$A$2:$C$7,3,FALSE)*C4</f>
        <v>880</v>
      </c>
      <c r="F4" s="6" t="str">
        <v>Product E</v>
      </c>
      <c r="G4" s="6">
        <f>SUMIF($B$2:$B$7,Product!#REF!,Order!$C$2:$C$7)</f>
        <v>0</v>
      </c>
      <c r="H4" s="6">
        <v>105</v>
      </c>
      <c r="I4" s="6">
        <f>VLOOKUP(B4,Product!$A$2:$C$7,3,FALSE)*(1-10%)</f>
        <v>198</v>
      </c>
      <c r="J4" s="6"/>
      <c r="K4" s="6" t="str">
        <f>IF(COUNTIF(A4:$D$7,A4)=0,"NOT ORDERD","ORDERD")</f>
        <v>ORDERD</v>
      </c>
      <c r="L4" s="3">
        <f>SUMIF($B$2:$B$7,Product!A4,Order!$C$2:$C$7)</f>
        <v>1</v>
      </c>
      <c r="M4" s="3" t="s">
        <v>5</v>
      </c>
    </row>
    <row r="5" spans="1:13" x14ac:dyDescent="0.3">
      <c r="A5" s="8">
        <v>4</v>
      </c>
      <c r="B5" s="8">
        <v>106</v>
      </c>
      <c r="C5" s="8">
        <v>3</v>
      </c>
      <c r="D5" s="8">
        <f>VLOOKUP(B5,Product!$A$2:$C$7,3,FALSE)*C5</f>
        <v>390</v>
      </c>
      <c r="F5" s="6" t="str">
        <v>Product F</v>
      </c>
      <c r="G5" s="6">
        <f>SUMIF($B$2:$B$7,Product!#REF!,Order!$C$2:$C$7)</f>
        <v>0</v>
      </c>
      <c r="H5" s="6" t="str">
        <v>NOT FOUND</v>
      </c>
      <c r="I5" s="6">
        <f>VLOOKUP(B5,Product!$A$2:$C$7,3,FALSE)*(1-10%)</f>
        <v>117</v>
      </c>
      <c r="J5" s="6"/>
      <c r="K5" s="6" t="str">
        <f>IF(COUNTIF(A5:$D$7,A5)=0,"NOT ORDERD","ORDERD")</f>
        <v>ORDERD</v>
      </c>
      <c r="L5" s="3">
        <f>SUMIF($B$2:$B$7,Product!A5,Order!$C$2:$C$7)</f>
        <v>6</v>
      </c>
      <c r="M5" s="3" t="s">
        <v>4</v>
      </c>
    </row>
    <row r="6" spans="1:13" x14ac:dyDescent="0.3">
      <c r="A6" s="8">
        <v>5</v>
      </c>
      <c r="B6" s="8">
        <v>102</v>
      </c>
      <c r="C6" s="8">
        <v>5</v>
      </c>
      <c r="D6" s="8">
        <f>VLOOKUP(B6,Product!$A$2:$C$7,3,FALSE)*C6</f>
        <v>750</v>
      </c>
      <c r="F6" s="6" t="str">
        <v>Product B</v>
      </c>
      <c r="G6" s="6">
        <f>SUMIF($B$2:$B$7,Product!#REF!,Order!$C$2:$C$7)</f>
        <v>0</v>
      </c>
      <c r="H6" s="6">
        <v>102</v>
      </c>
      <c r="I6" s="6">
        <f>VLOOKUP(B6,Product!$A$2:$C$7,3,FALSE)*(1-10%)</f>
        <v>135</v>
      </c>
      <c r="J6" s="6"/>
      <c r="K6" s="6" t="str">
        <f>IF(COUNTIF(A6:$D$7,A6)=0,"NOT ORDERD","ORDERD")</f>
        <v>ORDERD</v>
      </c>
      <c r="L6" s="3">
        <f>SUMIF($B$2:$B$7,Product!A6,Order!$C$2:$C$7)</f>
        <v>4</v>
      </c>
      <c r="M6" s="3" t="s">
        <v>6</v>
      </c>
    </row>
    <row r="7" spans="1:13" x14ac:dyDescent="0.3">
      <c r="A7" s="8">
        <v>6</v>
      </c>
      <c r="B7" s="8">
        <v>104</v>
      </c>
      <c r="C7" s="8">
        <v>6</v>
      </c>
      <c r="D7" s="8">
        <f>VLOOKUP(B7,Product!$A$2:$C$7,3,FALSE)*C7</f>
        <v>540</v>
      </c>
      <c r="F7" s="6" t="str">
        <v>Product D</v>
      </c>
      <c r="G7" s="6">
        <f>SUMIF($B$2:$B$7,Product!#REF!,Order!$C$2:$C$7)</f>
        <v>0</v>
      </c>
      <c r="H7" s="6">
        <v>104</v>
      </c>
      <c r="I7" s="6">
        <f>VLOOKUP(B7,Product!$A$2:$C$7,3,FALSE)*(1-10%)</f>
        <v>81</v>
      </c>
      <c r="J7" s="6"/>
      <c r="K7" s="6" t="str">
        <f>IF(COUNTIF(A7:$D$7,A7)=0,"NOT ORDERD","ORDERD")</f>
        <v>ORDERD</v>
      </c>
      <c r="L7" s="3">
        <f>SUMIF($B$2:$B$7,Product!A7,Order!$C$2:$C$7)</f>
        <v>3</v>
      </c>
      <c r="M7" s="3" t="s">
        <v>7</v>
      </c>
    </row>
  </sheetData>
  <conditionalFormatting sqref="D2:D7">
    <cfRule type="expression" dxfId="0" priority="1">
      <formula>MAX(E2:E7)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 raj</dc:creator>
  <cp:lastModifiedBy>priyan raj</cp:lastModifiedBy>
  <dcterms:created xsi:type="dcterms:W3CDTF">2025-11-13T12:17:14Z</dcterms:created>
  <dcterms:modified xsi:type="dcterms:W3CDTF">2025-11-13T14:44:19Z</dcterms:modified>
</cp:coreProperties>
</file>